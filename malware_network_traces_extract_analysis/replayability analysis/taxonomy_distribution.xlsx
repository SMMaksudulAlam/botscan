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sudul_mimon\Desktop\C2_Scanner\playbook_analysis\"/>
    </mc:Choice>
  </mc:AlternateContent>
  <xr:revisionPtr revIDLastSave="0" documentId="13_ncr:1_{268A3638-E447-47E2-8939-897ED6817BF3}" xr6:coauthVersionLast="47" xr6:coauthVersionMax="47" xr10:uidLastSave="{00000000-0000-0000-0000-000000000000}"/>
  <bookViews>
    <workbookView xWindow="12600" yWindow="0" windowWidth="10536" windowHeight="1233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C14" i="1" l="1"/>
  <c r="AH10" i="1"/>
  <c r="AE10" i="1"/>
  <c r="AF10" i="1"/>
  <c r="AH3" i="1"/>
  <c r="AH4" i="1"/>
  <c r="AH5" i="1"/>
  <c r="AH6" i="1"/>
  <c r="AH7" i="1"/>
  <c r="AH8" i="1"/>
  <c r="AH2" i="1"/>
  <c r="AF3" i="1"/>
  <c r="AF4" i="1"/>
  <c r="AF5" i="1"/>
  <c r="AF6" i="1"/>
  <c r="AF8" i="1"/>
  <c r="AF2" i="1"/>
  <c r="AD3" i="1"/>
  <c r="AD10" i="1"/>
  <c r="AD2" i="1"/>
  <c r="AJ8" i="1"/>
  <c r="AA8" i="1"/>
  <c r="X3" i="1"/>
  <c r="Y3" i="1" s="1"/>
  <c r="X4" i="1"/>
  <c r="Y4" i="1" s="1"/>
  <c r="X5" i="1"/>
  <c r="Y5" i="1" s="1"/>
  <c r="X6" i="1"/>
  <c r="Y6" i="1" s="1"/>
  <c r="X2" i="1"/>
  <c r="Y2" i="1" s="1"/>
  <c r="W7" i="1"/>
  <c r="X7" i="1" s="1"/>
  <c r="Y7" i="1" s="1"/>
  <c r="W8" i="1"/>
  <c r="X8" i="1" s="1"/>
  <c r="Y8" i="1" s="1"/>
  <c r="R3" i="1"/>
  <c r="R4" i="1"/>
  <c r="R5" i="1"/>
  <c r="R6" i="1"/>
  <c r="R7" i="1"/>
  <c r="R8" i="1"/>
  <c r="R2" i="1"/>
  <c r="P3" i="1"/>
  <c r="P4" i="1"/>
  <c r="P5" i="1"/>
  <c r="P6" i="1"/>
  <c r="P7" i="1"/>
  <c r="P8" i="1"/>
  <c r="P2" i="1"/>
  <c r="Q10" i="1"/>
  <c r="O10" i="1"/>
  <c r="N10" i="1"/>
  <c r="D9" i="1"/>
  <c r="C9" i="1"/>
  <c r="B9" i="1"/>
  <c r="J3" i="1" l="1"/>
  <c r="AI3" i="1"/>
  <c r="AJ3" i="1" s="1"/>
  <c r="AG10" i="1"/>
  <c r="P10" i="1"/>
  <c r="R10" i="1"/>
  <c r="AA3" i="1" l="1"/>
  <c r="AI6" i="1"/>
  <c r="AJ6" i="1" s="1"/>
  <c r="AI5" i="1"/>
  <c r="AJ5" i="1" s="1"/>
  <c r="AI7" i="1"/>
  <c r="AI4" i="1"/>
  <c r="AJ4" i="1" s="1"/>
  <c r="AI2" i="1"/>
  <c r="AC10" i="1"/>
  <c r="AJ2" i="1" l="1"/>
  <c r="AA2" i="1"/>
  <c r="AA7" i="1"/>
  <c r="AJ7" i="1"/>
  <c r="J1" i="1"/>
  <c r="J7" i="1" s="1"/>
  <c r="AC15" i="1"/>
  <c r="AI10" i="1"/>
</calcChain>
</file>

<file path=xl/sharedStrings.xml><?xml version="1.0" encoding="utf-8"?>
<sst xmlns="http://schemas.openxmlformats.org/spreadsheetml/2006/main" count="34" uniqueCount="24">
  <si>
    <t>F</t>
  </si>
  <si>
    <t>O</t>
  </si>
  <si>
    <t>T</t>
  </si>
  <si>
    <t>Family</t>
  </si>
  <si>
    <t>CoinMiner</t>
  </si>
  <si>
    <t>Gafgyt</t>
  </si>
  <si>
    <t>Kaiji</t>
  </si>
  <si>
    <t>Mirai</t>
  </si>
  <si>
    <t>Tsunami</t>
  </si>
  <si>
    <t>Unknown</t>
  </si>
  <si>
    <t>Mozi</t>
  </si>
  <si>
    <t>Hajime</t>
  </si>
  <si>
    <t>Collected</t>
  </si>
  <si>
    <t>Activated</t>
  </si>
  <si>
    <t>Connected</t>
  </si>
  <si>
    <t>Analyzed</t>
  </si>
  <si>
    <t>Original</t>
  </si>
  <si>
    <t>R</t>
  </si>
  <si>
    <t>P_Total</t>
  </si>
  <si>
    <t>% of Conn</t>
  </si>
  <si>
    <t>Missed Replay</t>
  </si>
  <si>
    <t>P_Failed</t>
  </si>
  <si>
    <t>P_RetX</t>
  </si>
  <si>
    <t>replay 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</si>
</sst>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179294</xdr:colOff>
      <xdr:row>15</xdr:row>
      <xdr:rowOff>134471</xdr:rowOff>
    </xdr:from>
    <xdr:to>
      <xdr:col>25</xdr:col>
      <xdr:colOff>126478</xdr:colOff>
      <xdr:row>26</xdr:row>
      <xdr:rowOff>14056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52D40-31F3-C4B1-68F4-C4D1839F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3294" y="2823883"/>
          <a:ext cx="6043184" cy="1851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tabSelected="1" topLeftCell="Z1" zoomScale="85" zoomScaleNormal="85" workbookViewId="0">
      <selection activeCell="AC14" sqref="AC14"/>
    </sheetView>
  </sheetViews>
  <sheetFormatPr defaultRowHeight="14.4" x14ac:dyDescent="0.3"/>
  <cols>
    <col min="27" max="27" width="12.88671875" customWidth="1"/>
  </cols>
  <sheetData>
    <row r="1" spans="1:36" x14ac:dyDescent="0.3">
      <c r="A1" s="1" t="s">
        <v>3</v>
      </c>
      <c r="B1" s="1" t="s">
        <v>0</v>
      </c>
      <c r="C1" s="1" t="s">
        <v>1</v>
      </c>
      <c r="D1" s="1" t="s">
        <v>2</v>
      </c>
      <c r="J1">
        <f>AC10</f>
        <v>1117</v>
      </c>
      <c r="N1" t="s">
        <v>12</v>
      </c>
      <c r="O1" t="s">
        <v>13</v>
      </c>
      <c r="Q1" t="s">
        <v>14</v>
      </c>
      <c r="S1" t="s">
        <v>16</v>
      </c>
      <c r="T1" t="s">
        <v>17</v>
      </c>
      <c r="U1" t="s">
        <v>0</v>
      </c>
      <c r="V1" t="s">
        <v>22</v>
      </c>
      <c r="W1" t="s">
        <v>21</v>
      </c>
      <c r="X1" t="s">
        <v>18</v>
      </c>
      <c r="Y1" t="s">
        <v>19</v>
      </c>
      <c r="AA1" t="s">
        <v>20</v>
      </c>
      <c r="AC1" t="s">
        <v>0</v>
      </c>
      <c r="AE1" t="s">
        <v>2</v>
      </c>
      <c r="AG1" t="s">
        <v>1</v>
      </c>
      <c r="AI1" t="s">
        <v>15</v>
      </c>
    </row>
    <row r="2" spans="1:36" x14ac:dyDescent="0.3">
      <c r="A2" s="1"/>
      <c r="M2" t="s">
        <v>7</v>
      </c>
      <c r="N2">
        <v>1347</v>
      </c>
      <c r="O2">
        <v>1225</v>
      </c>
      <c r="P2">
        <f>O2/N2</f>
        <v>0.90942835931700072</v>
      </c>
      <c r="Q2">
        <v>1172</v>
      </c>
      <c r="R2">
        <f>Q2/O2</f>
        <v>0.95673469387755106</v>
      </c>
      <c r="S2">
        <v>811</v>
      </c>
      <c r="T2">
        <v>39</v>
      </c>
      <c r="U2">
        <v>8</v>
      </c>
      <c r="V2">
        <v>56</v>
      </c>
      <c r="W2">
        <v>12</v>
      </c>
      <c r="X2">
        <f>Q2-W2-V2</f>
        <v>1104</v>
      </c>
      <c r="Y2">
        <f>X2/Q2</f>
        <v>0.94197952218430037</v>
      </c>
      <c r="AA2">
        <f>X2-AI2</f>
        <v>51</v>
      </c>
      <c r="AC2">
        <v>978</v>
      </c>
      <c r="AD2">
        <f>AC2/AI2</f>
        <v>0.92877492877492873</v>
      </c>
      <c r="AE2">
        <v>46</v>
      </c>
      <c r="AF2">
        <f>AE2/AI2</f>
        <v>4.3684710351377019E-2</v>
      </c>
      <c r="AG2">
        <v>29</v>
      </c>
      <c r="AH2">
        <f>AG2/AI2</f>
        <v>2.7540360873694207E-2</v>
      </c>
      <c r="AI2">
        <f>AC2+AE2+AG2</f>
        <v>1053</v>
      </c>
      <c r="AJ2">
        <f>AI2/Q2</f>
        <v>0.89846416382252559</v>
      </c>
    </row>
    <row r="3" spans="1:36" x14ac:dyDescent="0.3">
      <c r="A3" s="1" t="s">
        <v>4</v>
      </c>
      <c r="B3">
        <v>0</v>
      </c>
      <c r="C3">
        <v>0</v>
      </c>
      <c r="D3">
        <v>1</v>
      </c>
      <c r="J3">
        <f>AE10</f>
        <v>204</v>
      </c>
      <c r="M3" t="s">
        <v>5</v>
      </c>
      <c r="N3">
        <v>368</v>
      </c>
      <c r="O3">
        <v>319</v>
      </c>
      <c r="P3">
        <f t="shared" ref="P3:P10" si="0">O3/N3</f>
        <v>0.86684782608695654</v>
      </c>
      <c r="Q3">
        <v>308</v>
      </c>
      <c r="R3">
        <f t="shared" ref="R3:R10" si="1">Q3/O3</f>
        <v>0.96551724137931039</v>
      </c>
      <c r="S3">
        <v>247</v>
      </c>
      <c r="T3">
        <v>5</v>
      </c>
      <c r="U3">
        <v>2</v>
      </c>
      <c r="V3">
        <v>6</v>
      </c>
      <c r="W3">
        <v>2</v>
      </c>
      <c r="X3">
        <f t="shared" ref="X3:X8" si="2">Q3-W3-V3</f>
        <v>300</v>
      </c>
      <c r="Y3">
        <f t="shared" ref="Y3:Y8" si="3">X3/Q3</f>
        <v>0.97402597402597402</v>
      </c>
      <c r="AA3">
        <f>X3-AI3</f>
        <v>28</v>
      </c>
      <c r="AC3">
        <v>139</v>
      </c>
      <c r="AD3">
        <f t="shared" ref="AD3:AD10" si="4">AC3/AI3</f>
        <v>0.51102941176470584</v>
      </c>
      <c r="AE3">
        <v>127</v>
      </c>
      <c r="AF3">
        <f t="shared" ref="AF3:AF10" si="5">AE3/AI3</f>
        <v>0.46691176470588236</v>
      </c>
      <c r="AG3">
        <v>6</v>
      </c>
      <c r="AH3">
        <f t="shared" ref="AH3:AH10" si="6">AG3/AI3</f>
        <v>2.2058823529411766E-2</v>
      </c>
      <c r="AI3">
        <f>AC3+AE3+AG3</f>
        <v>272</v>
      </c>
      <c r="AJ3">
        <f t="shared" ref="AJ3:AJ8" si="7">AI3/Q3</f>
        <v>0.88311688311688308</v>
      </c>
    </row>
    <row r="4" spans="1:36" x14ac:dyDescent="0.3">
      <c r="A4" s="1" t="s">
        <v>5</v>
      </c>
      <c r="B4">
        <v>130</v>
      </c>
      <c r="C4">
        <v>4</v>
      </c>
      <c r="D4">
        <v>113</v>
      </c>
      <c r="M4" t="s">
        <v>10</v>
      </c>
      <c r="N4">
        <v>12</v>
      </c>
      <c r="O4">
        <v>9</v>
      </c>
      <c r="P4">
        <f t="shared" si="0"/>
        <v>0.75</v>
      </c>
      <c r="Q4">
        <v>6</v>
      </c>
      <c r="R4">
        <f t="shared" si="1"/>
        <v>0.66666666666666663</v>
      </c>
      <c r="T4">
        <v>0</v>
      </c>
      <c r="U4">
        <v>0</v>
      </c>
      <c r="X4">
        <f t="shared" si="2"/>
        <v>6</v>
      </c>
      <c r="Y4">
        <f t="shared" si="3"/>
        <v>1</v>
      </c>
      <c r="AC4">
        <v>0</v>
      </c>
      <c r="AE4">
        <v>6</v>
      </c>
      <c r="AF4">
        <f t="shared" si="5"/>
        <v>1</v>
      </c>
      <c r="AG4">
        <v>0</v>
      </c>
      <c r="AH4">
        <f t="shared" si="6"/>
        <v>0</v>
      </c>
      <c r="AI4">
        <f>AC4+AE4+AG4</f>
        <v>6</v>
      </c>
      <c r="AJ4">
        <f t="shared" si="7"/>
        <v>1</v>
      </c>
    </row>
    <row r="5" spans="1:36" x14ac:dyDescent="0.3">
      <c r="A5" s="1" t="s">
        <v>6</v>
      </c>
      <c r="B5">
        <v>0</v>
      </c>
      <c r="C5">
        <v>3</v>
      </c>
      <c r="D5">
        <v>0</v>
      </c>
      <c r="M5" t="s">
        <v>11</v>
      </c>
      <c r="N5">
        <v>31</v>
      </c>
      <c r="O5">
        <v>26</v>
      </c>
      <c r="P5">
        <f t="shared" si="0"/>
        <v>0.83870967741935487</v>
      </c>
      <c r="Q5">
        <v>18</v>
      </c>
      <c r="R5">
        <f t="shared" si="1"/>
        <v>0.69230769230769229</v>
      </c>
      <c r="T5">
        <v>0</v>
      </c>
      <c r="U5">
        <v>0</v>
      </c>
      <c r="X5">
        <f t="shared" si="2"/>
        <v>18</v>
      </c>
      <c r="Y5">
        <f t="shared" si="3"/>
        <v>1</v>
      </c>
      <c r="AC5">
        <v>0</v>
      </c>
      <c r="AE5">
        <v>18</v>
      </c>
      <c r="AF5">
        <f t="shared" si="5"/>
        <v>1</v>
      </c>
      <c r="AG5">
        <v>0</v>
      </c>
      <c r="AH5">
        <f t="shared" si="6"/>
        <v>0</v>
      </c>
      <c r="AI5">
        <f>AC5+AE5+AG5</f>
        <v>18</v>
      </c>
      <c r="AJ5">
        <f t="shared" si="7"/>
        <v>1</v>
      </c>
    </row>
    <row r="6" spans="1:36" x14ac:dyDescent="0.3">
      <c r="A6" s="1" t="s">
        <v>7</v>
      </c>
      <c r="B6">
        <v>749</v>
      </c>
      <c r="C6">
        <v>23</v>
      </c>
      <c r="D6">
        <v>25</v>
      </c>
      <c r="M6" t="s">
        <v>8</v>
      </c>
      <c r="N6">
        <v>43</v>
      </c>
      <c r="O6">
        <v>27</v>
      </c>
      <c r="P6">
        <f t="shared" si="0"/>
        <v>0.62790697674418605</v>
      </c>
      <c r="Q6">
        <v>14</v>
      </c>
      <c r="R6">
        <f t="shared" si="1"/>
        <v>0.51851851851851849</v>
      </c>
      <c r="S6">
        <v>2</v>
      </c>
      <c r="T6">
        <v>0</v>
      </c>
      <c r="U6">
        <v>0</v>
      </c>
      <c r="X6">
        <f t="shared" si="2"/>
        <v>14</v>
      </c>
      <c r="Y6">
        <f t="shared" si="3"/>
        <v>1</v>
      </c>
      <c r="AC6">
        <v>0</v>
      </c>
      <c r="AE6">
        <v>5</v>
      </c>
      <c r="AF6">
        <f t="shared" si="5"/>
        <v>0.35714285714285715</v>
      </c>
      <c r="AG6">
        <v>9</v>
      </c>
      <c r="AH6">
        <f t="shared" si="6"/>
        <v>0.6428571428571429</v>
      </c>
      <c r="AI6">
        <f>AC6+AE6+AG6</f>
        <v>14</v>
      </c>
      <c r="AJ6">
        <f t="shared" si="7"/>
        <v>1</v>
      </c>
    </row>
    <row r="7" spans="1:36" x14ac:dyDescent="0.3">
      <c r="A7" s="1" t="s">
        <v>8</v>
      </c>
      <c r="B7">
        <v>1</v>
      </c>
      <c r="C7">
        <v>0</v>
      </c>
      <c r="D7">
        <v>0</v>
      </c>
      <c r="J7">
        <f xml:space="preserve"> SUM(J1:J6)</f>
        <v>1321</v>
      </c>
      <c r="M7" t="s">
        <v>6</v>
      </c>
      <c r="N7">
        <v>19</v>
      </c>
      <c r="O7">
        <v>15</v>
      </c>
      <c r="P7">
        <f t="shared" si="0"/>
        <v>0.78947368421052633</v>
      </c>
      <c r="Q7">
        <v>11</v>
      </c>
      <c r="R7">
        <f t="shared" si="1"/>
        <v>0.73333333333333328</v>
      </c>
      <c r="S7">
        <v>3</v>
      </c>
      <c r="T7">
        <v>1</v>
      </c>
      <c r="U7">
        <v>0</v>
      </c>
      <c r="V7">
        <v>4</v>
      </c>
      <c r="W7">
        <f t="shared" ref="W7:W8" si="8">(U7/S7)*Q7</f>
        <v>0</v>
      </c>
      <c r="X7">
        <f t="shared" si="2"/>
        <v>7</v>
      </c>
      <c r="Y7">
        <f t="shared" si="3"/>
        <v>0.63636363636363635</v>
      </c>
      <c r="AA7">
        <f>X7-AI7</f>
        <v>4</v>
      </c>
      <c r="AC7">
        <v>0</v>
      </c>
      <c r="AE7">
        <v>0</v>
      </c>
      <c r="AG7">
        <v>3</v>
      </c>
      <c r="AH7">
        <f t="shared" si="6"/>
        <v>1</v>
      </c>
      <c r="AI7">
        <f>AC7+AE7+AG7</f>
        <v>3</v>
      </c>
      <c r="AJ7">
        <f t="shared" si="7"/>
        <v>0.27272727272727271</v>
      </c>
    </row>
    <row r="8" spans="1:36" x14ac:dyDescent="0.3">
      <c r="A8" s="1" t="s">
        <v>9</v>
      </c>
      <c r="B8">
        <v>5</v>
      </c>
      <c r="C8">
        <v>3</v>
      </c>
      <c r="D8">
        <v>3</v>
      </c>
      <c r="M8" t="s">
        <v>9</v>
      </c>
      <c r="N8">
        <v>22</v>
      </c>
      <c r="O8">
        <v>13</v>
      </c>
      <c r="P8">
        <f t="shared" si="0"/>
        <v>0.59090909090909094</v>
      </c>
      <c r="Q8">
        <v>7</v>
      </c>
      <c r="R8">
        <f t="shared" si="1"/>
        <v>0.53846153846153844</v>
      </c>
      <c r="S8">
        <v>11</v>
      </c>
      <c r="T8">
        <v>2</v>
      </c>
      <c r="U8">
        <v>0</v>
      </c>
      <c r="V8">
        <v>1</v>
      </c>
      <c r="W8">
        <f t="shared" si="8"/>
        <v>0</v>
      </c>
      <c r="X8">
        <f t="shared" si="2"/>
        <v>6</v>
      </c>
      <c r="Y8">
        <f t="shared" si="3"/>
        <v>0.8571428571428571</v>
      </c>
      <c r="AA8">
        <f>X8-AI8</f>
        <v>1</v>
      </c>
      <c r="AC8">
        <v>0</v>
      </c>
      <c r="AE8">
        <v>2</v>
      </c>
      <c r="AF8">
        <f t="shared" si="5"/>
        <v>0.4</v>
      </c>
      <c r="AG8">
        <v>3</v>
      </c>
      <c r="AH8">
        <f t="shared" si="6"/>
        <v>0.6</v>
      </c>
      <c r="AI8">
        <v>5</v>
      </c>
      <c r="AJ8">
        <f t="shared" si="7"/>
        <v>0.7142857142857143</v>
      </c>
    </row>
    <row r="9" spans="1:36" x14ac:dyDescent="0.3">
      <c r="B9">
        <f>SUM(B2:B8)</f>
        <v>885</v>
      </c>
      <c r="C9">
        <f>SUM(C2:C8)</f>
        <v>33</v>
      </c>
      <c r="D9">
        <f>SUM(D2:D8)</f>
        <v>142</v>
      </c>
    </row>
    <row r="10" spans="1:36" x14ac:dyDescent="0.3">
      <c r="N10">
        <f>SUM(N2:N9)</f>
        <v>1842</v>
      </c>
      <c r="O10">
        <f>SUM(O2:O9)</f>
        <v>1634</v>
      </c>
      <c r="P10">
        <f t="shared" si="0"/>
        <v>0.8870792616720955</v>
      </c>
      <c r="Q10">
        <f>SUM(Q2:Q9)</f>
        <v>1536</v>
      </c>
      <c r="R10">
        <f t="shared" si="1"/>
        <v>0.94002447980416159</v>
      </c>
      <c r="AC10">
        <f>SUM(AC2:AC9)</f>
        <v>1117</v>
      </c>
      <c r="AD10">
        <f t="shared" si="4"/>
        <v>0.81473377097009481</v>
      </c>
      <c r="AE10">
        <f>SUM(AE2:AE9)</f>
        <v>204</v>
      </c>
      <c r="AF10">
        <f t="shared" si="5"/>
        <v>0.1487964989059081</v>
      </c>
      <c r="AG10">
        <f>SUM(AG2:AG9)</f>
        <v>50</v>
      </c>
      <c r="AH10">
        <f t="shared" si="6"/>
        <v>3.6469730123997082E-2</v>
      </c>
      <c r="AI10">
        <f>SUM(AI2:AI9)</f>
        <v>1371</v>
      </c>
    </row>
    <row r="14" spans="1:36" x14ac:dyDescent="0.3">
      <c r="AA14" t="s">
        <v>23</v>
      </c>
      <c r="AC14">
        <f>AC10+AE10</f>
        <v>1321</v>
      </c>
    </row>
    <row r="15" spans="1:36" x14ac:dyDescent="0.3">
      <c r="AA15" t="s">
        <v>23</v>
      </c>
      <c r="AC15">
        <f>AC14/Q10</f>
        <v>0.86002604166666663</v>
      </c>
    </row>
    <row r="17" spans="5:5" x14ac:dyDescent="0.3">
      <c r="E17">
        <v>1365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maksudul mimon</cp:lastModifiedBy>
  <dcterms:created xsi:type="dcterms:W3CDTF">2024-12-05T21:33:04Z</dcterms:created>
  <dcterms:modified xsi:type="dcterms:W3CDTF">2024-12-28T13:20:00Z</dcterms:modified>
</cp:coreProperties>
</file>